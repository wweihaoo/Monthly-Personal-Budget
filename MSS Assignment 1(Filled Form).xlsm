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i5\Desktop\"/>
    </mc:Choice>
  </mc:AlternateContent>
  <xr:revisionPtr revIDLastSave="0" documentId="13_ncr:1_{E5A39D67-C7FA-4880-981B-918D099A2192}" xr6:coauthVersionLast="47" xr6:coauthVersionMax="47" xr10:uidLastSave="{00000000-0000-0000-0000-000000000000}"/>
  <bookViews>
    <workbookView xWindow="-120" yWindow="-120" windowWidth="24240" windowHeight="13140" xr2:uid="{2DD3731B-33B2-4A2B-B245-6A93099B7AE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5" i="1"/>
  <c r="D47" i="1"/>
  <c r="C38" i="1" l="1"/>
  <c r="B38" i="1"/>
  <c r="B27" i="1"/>
  <c r="B11" i="1"/>
  <c r="D10" i="1"/>
  <c r="D9" i="1"/>
  <c r="D8" i="1"/>
  <c r="D6" i="1"/>
  <c r="D14" i="1"/>
  <c r="C11" i="1"/>
  <c r="D11" i="1" l="1"/>
  <c r="I21" i="1"/>
  <c r="H21" i="1"/>
  <c r="H41" i="1"/>
  <c r="I41" i="1"/>
  <c r="I48" i="1"/>
  <c r="H48" i="1"/>
  <c r="H56" i="1"/>
  <c r="I56" i="1"/>
  <c r="I62" i="1"/>
  <c r="H62" i="1"/>
  <c r="C62" i="1"/>
  <c r="B62" i="1"/>
  <c r="C52" i="1"/>
  <c r="B52" i="1"/>
  <c r="C27" i="1"/>
  <c r="I30" i="1"/>
  <c r="H30" i="1"/>
  <c r="D26" i="1"/>
  <c r="J13" i="1"/>
  <c r="J61" i="1"/>
  <c r="J60" i="1"/>
  <c r="J59" i="1"/>
  <c r="J55" i="1"/>
  <c r="J54" i="1"/>
  <c r="J53" i="1"/>
  <c r="J52" i="1"/>
  <c r="J51" i="1"/>
  <c r="J47" i="1"/>
  <c r="J46" i="1"/>
  <c r="J45" i="1"/>
  <c r="J44" i="1"/>
  <c r="J40" i="1"/>
  <c r="J39" i="1"/>
  <c r="J38" i="1"/>
  <c r="J37" i="1"/>
  <c r="J36" i="1"/>
  <c r="J35" i="1"/>
  <c r="J34" i="1"/>
  <c r="J33" i="1"/>
  <c r="J29" i="1"/>
  <c r="J28" i="1"/>
  <c r="J27" i="1"/>
  <c r="J26" i="1"/>
  <c r="J25" i="1"/>
  <c r="J24" i="1"/>
  <c r="J20" i="1"/>
  <c r="J19" i="1"/>
  <c r="J18" i="1"/>
  <c r="J17" i="1"/>
  <c r="J16" i="1"/>
  <c r="J15" i="1"/>
  <c r="J14" i="1"/>
  <c r="J12" i="1"/>
  <c r="D61" i="1"/>
  <c r="D60" i="1"/>
  <c r="D59" i="1"/>
  <c r="D58" i="1"/>
  <c r="D57" i="1"/>
  <c r="D56" i="1"/>
  <c r="D55" i="1"/>
  <c r="D51" i="1"/>
  <c r="D50" i="1"/>
  <c r="D49" i="1"/>
  <c r="D48" i="1"/>
  <c r="D46" i="1"/>
  <c r="D45" i="1"/>
  <c r="D44" i="1"/>
  <c r="D43" i="1"/>
  <c r="D42" i="1"/>
  <c r="D41" i="1"/>
  <c r="D37" i="1"/>
  <c r="D36" i="1"/>
  <c r="D35" i="1"/>
  <c r="D34" i="1"/>
  <c r="D33" i="1"/>
  <c r="D32" i="1"/>
  <c r="D31" i="1"/>
  <c r="D30" i="1"/>
  <c r="D15" i="1"/>
  <c r="D25" i="1"/>
  <c r="D24" i="1"/>
  <c r="D23" i="1"/>
  <c r="D22" i="1"/>
  <c r="D21" i="1"/>
  <c r="D20" i="1"/>
  <c r="D19" i="1"/>
  <c r="D18" i="1"/>
  <c r="D17" i="1"/>
  <c r="D16" i="1"/>
  <c r="D38" i="1" l="1"/>
  <c r="D62" i="1"/>
  <c r="J21" i="1"/>
  <c r="J30" i="1"/>
  <c r="J62" i="1"/>
  <c r="D52" i="1"/>
  <c r="J41" i="1"/>
  <c r="J56" i="1"/>
  <c r="J48" i="1"/>
  <c r="D27" i="1"/>
</calcChain>
</file>

<file path=xl/sharedStrings.xml><?xml version="1.0" encoding="utf-8"?>
<sst xmlns="http://schemas.openxmlformats.org/spreadsheetml/2006/main" count="143" uniqueCount="92">
  <si>
    <t>Monthly Personal Budget</t>
    <phoneticPr fontId="1" type="noConversion"/>
  </si>
  <si>
    <t>Projected:</t>
    <phoneticPr fontId="1" type="noConversion"/>
  </si>
  <si>
    <t>Actual:</t>
    <phoneticPr fontId="1" type="noConversion"/>
  </si>
  <si>
    <t>Difference:</t>
    <phoneticPr fontId="1" type="noConversion"/>
  </si>
  <si>
    <t>Wages:</t>
    <phoneticPr fontId="1" type="noConversion"/>
  </si>
  <si>
    <t>Interest Income:</t>
    <phoneticPr fontId="1" type="noConversion"/>
  </si>
  <si>
    <t>Dividends:</t>
    <phoneticPr fontId="1" type="noConversion"/>
  </si>
  <si>
    <t>Transfer form Savings:</t>
    <phoneticPr fontId="1" type="noConversion"/>
  </si>
  <si>
    <t>Bonus / Tips:</t>
    <phoneticPr fontId="1" type="noConversion"/>
  </si>
  <si>
    <t>Others:</t>
    <phoneticPr fontId="1" type="noConversion"/>
  </si>
  <si>
    <t>Total Income:</t>
    <phoneticPr fontId="1" type="noConversion"/>
  </si>
  <si>
    <t>Mortgage / Rent:</t>
    <phoneticPr fontId="1" type="noConversion"/>
  </si>
  <si>
    <t>Assessment Tax:</t>
    <phoneticPr fontId="1" type="noConversion"/>
  </si>
  <si>
    <t>Phone:</t>
    <phoneticPr fontId="1" type="noConversion"/>
  </si>
  <si>
    <t>Electricity:</t>
    <phoneticPr fontId="1" type="noConversion"/>
  </si>
  <si>
    <t>Gas:</t>
    <phoneticPr fontId="1" type="noConversion"/>
  </si>
  <si>
    <t>Water &amp; Sewer:</t>
    <phoneticPr fontId="1" type="noConversion"/>
  </si>
  <si>
    <t>Cable:</t>
    <phoneticPr fontId="1" type="noConversion"/>
  </si>
  <si>
    <t>Internet:</t>
    <phoneticPr fontId="1" type="noConversion"/>
  </si>
  <si>
    <t>Waste Removal:</t>
    <phoneticPr fontId="1" type="noConversion"/>
  </si>
  <si>
    <t>Maintenance or Repairs:</t>
    <phoneticPr fontId="1" type="noConversion"/>
  </si>
  <si>
    <t>Supplies:</t>
    <phoneticPr fontId="1" type="noConversion"/>
  </si>
  <si>
    <t>Furnishings / Appliances:</t>
    <phoneticPr fontId="1" type="noConversion"/>
  </si>
  <si>
    <t>Other:</t>
    <phoneticPr fontId="1" type="noConversion"/>
  </si>
  <si>
    <t>TRANSPORTATION:</t>
    <phoneticPr fontId="1" type="noConversion"/>
  </si>
  <si>
    <t>HOUSING EXPENSES:</t>
    <phoneticPr fontId="1" type="noConversion"/>
  </si>
  <si>
    <t>INCOME:</t>
    <phoneticPr fontId="1" type="noConversion"/>
  </si>
  <si>
    <t>Vehicle Payments:</t>
    <phoneticPr fontId="1" type="noConversion"/>
  </si>
  <si>
    <t>Insurance:</t>
    <phoneticPr fontId="1" type="noConversion"/>
  </si>
  <si>
    <t>Fuel:</t>
    <phoneticPr fontId="1" type="noConversion"/>
  </si>
  <si>
    <t>Licensing:</t>
    <phoneticPr fontId="1" type="noConversion"/>
  </si>
  <si>
    <t>Road tax:</t>
    <phoneticPr fontId="1" type="noConversion"/>
  </si>
  <si>
    <t>Repair Fees:</t>
    <phoneticPr fontId="1" type="noConversion"/>
  </si>
  <si>
    <t>Bus / Taxi / Train fare:</t>
    <phoneticPr fontId="1" type="noConversion"/>
  </si>
  <si>
    <t>Subtotal:</t>
    <phoneticPr fontId="1" type="noConversion"/>
  </si>
  <si>
    <t>Groceries:</t>
    <phoneticPr fontId="1" type="noConversion"/>
  </si>
  <si>
    <t>Dining Out:</t>
    <phoneticPr fontId="1" type="noConversion"/>
  </si>
  <si>
    <t>DAILY LIVING:</t>
    <phoneticPr fontId="1" type="noConversion"/>
  </si>
  <si>
    <t>Personal Supplies:</t>
    <phoneticPr fontId="1" type="noConversion"/>
  </si>
  <si>
    <t>Clothing:</t>
    <phoneticPr fontId="1" type="noConversion"/>
  </si>
  <si>
    <t>Cleaning:</t>
    <phoneticPr fontId="1" type="noConversion"/>
  </si>
  <si>
    <t>Education / Lessons:</t>
    <phoneticPr fontId="1" type="noConversion"/>
  </si>
  <si>
    <t>Hair / nails:</t>
    <phoneticPr fontId="1" type="noConversion"/>
  </si>
  <si>
    <t>Facial:</t>
    <phoneticPr fontId="1" type="noConversion"/>
  </si>
  <si>
    <t>Pet Food:</t>
    <phoneticPr fontId="1" type="noConversion"/>
  </si>
  <si>
    <t>Massage:</t>
    <phoneticPr fontId="1" type="noConversion"/>
  </si>
  <si>
    <t>HEALTH CARE:</t>
    <phoneticPr fontId="1" type="noConversion"/>
  </si>
  <si>
    <t>Health Insurance:</t>
    <phoneticPr fontId="1" type="noConversion"/>
  </si>
  <si>
    <t>Doctor / Dentist:</t>
    <phoneticPr fontId="1" type="noConversion"/>
  </si>
  <si>
    <t>Medicine:</t>
    <phoneticPr fontId="1" type="noConversion"/>
  </si>
  <si>
    <t>Health Club:</t>
    <phoneticPr fontId="1" type="noConversion"/>
  </si>
  <si>
    <t>Life Insurance:</t>
    <phoneticPr fontId="1" type="noConversion"/>
  </si>
  <si>
    <t>Pet Care:</t>
    <phoneticPr fontId="1" type="noConversion"/>
  </si>
  <si>
    <t>ENTERTAINMENT:</t>
    <phoneticPr fontId="1" type="noConversion"/>
  </si>
  <si>
    <t>Activities:</t>
    <phoneticPr fontId="1" type="noConversion"/>
  </si>
  <si>
    <t>Games:</t>
    <phoneticPr fontId="1" type="noConversion"/>
  </si>
  <si>
    <t>Movies:</t>
    <phoneticPr fontId="1" type="noConversion"/>
  </si>
  <si>
    <t>Sports:</t>
    <phoneticPr fontId="1" type="noConversion"/>
  </si>
  <si>
    <t>Toys / Gadget:</t>
    <phoneticPr fontId="1" type="noConversion"/>
  </si>
  <si>
    <t>Vacation / Travel:</t>
    <phoneticPr fontId="1" type="noConversion"/>
  </si>
  <si>
    <t>Books:</t>
    <phoneticPr fontId="1" type="noConversion"/>
  </si>
  <si>
    <t>Concerts:</t>
    <phoneticPr fontId="1" type="noConversion"/>
  </si>
  <si>
    <t>SAVINGS &amp; INVESTMENTS:</t>
    <phoneticPr fontId="1" type="noConversion"/>
  </si>
  <si>
    <t>Emergency Fund:</t>
    <phoneticPr fontId="1" type="noConversion"/>
  </si>
  <si>
    <t>Car Replacement:</t>
    <phoneticPr fontId="1" type="noConversion"/>
  </si>
  <si>
    <t>Retirement Fund:</t>
    <phoneticPr fontId="1" type="noConversion"/>
  </si>
  <si>
    <t>Investments:</t>
    <phoneticPr fontId="1" type="noConversion"/>
  </si>
  <si>
    <t>Education Fund:</t>
    <phoneticPr fontId="1" type="noConversion"/>
  </si>
  <si>
    <t>Other:</t>
    <phoneticPr fontId="1" type="noConversion"/>
  </si>
  <si>
    <t>LOANS:</t>
    <phoneticPr fontId="1" type="noConversion"/>
  </si>
  <si>
    <t>Student Loans:</t>
    <phoneticPr fontId="1" type="noConversion"/>
  </si>
  <si>
    <t>Alimony:</t>
    <phoneticPr fontId="1" type="noConversion"/>
  </si>
  <si>
    <t>Credit Card 1:</t>
    <phoneticPr fontId="1" type="noConversion"/>
  </si>
  <si>
    <t>Credit Card 2:</t>
    <phoneticPr fontId="1" type="noConversion"/>
  </si>
  <si>
    <t>Federal Taxes:</t>
    <phoneticPr fontId="1" type="noConversion"/>
  </si>
  <si>
    <t>State / Local Taxes:</t>
    <phoneticPr fontId="1" type="noConversion"/>
  </si>
  <si>
    <t>GIFTS &amp; DONATIONS:</t>
    <phoneticPr fontId="1" type="noConversion"/>
  </si>
  <si>
    <t>Gifts Given:</t>
    <phoneticPr fontId="1" type="noConversion"/>
  </si>
  <si>
    <t>Charity Donations:</t>
    <phoneticPr fontId="1" type="noConversion"/>
  </si>
  <si>
    <t>Religious Donations:</t>
    <phoneticPr fontId="1" type="noConversion"/>
  </si>
  <si>
    <t>Newspaper:</t>
    <phoneticPr fontId="1" type="noConversion"/>
  </si>
  <si>
    <t>Magazines:</t>
    <phoneticPr fontId="1" type="noConversion"/>
  </si>
  <si>
    <t>Apps Memberships:</t>
    <phoneticPr fontId="1" type="noConversion"/>
  </si>
  <si>
    <t>Store Memberships:</t>
    <phoneticPr fontId="1" type="noConversion"/>
  </si>
  <si>
    <t>SUBSCRIPTIONS:</t>
    <phoneticPr fontId="1" type="noConversion"/>
  </si>
  <si>
    <t>MISCELLANEOUS:</t>
    <phoneticPr fontId="1" type="noConversion"/>
  </si>
  <si>
    <t>Bank Charges:</t>
    <phoneticPr fontId="1" type="noConversion"/>
  </si>
  <si>
    <t>Postage:</t>
    <phoneticPr fontId="1" type="noConversion"/>
  </si>
  <si>
    <t>SUMMARY OF BUDGET:</t>
    <phoneticPr fontId="1" type="noConversion"/>
  </si>
  <si>
    <t>Total Expenses:</t>
    <phoneticPr fontId="1" type="noConversion"/>
  </si>
  <si>
    <t>NET:</t>
    <phoneticPr fontId="1" type="noConversion"/>
  </si>
  <si>
    <t>Personal Loans: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</si>
</sst>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RM-43E]#,##0.00_);[Red]\([$RM-43E]#,##0.00\)"/>
    <numFmt numFmtId="177" formatCode="[$RM-43E]#,##0.00_);\([$RM-43E]#,##0.00\)"/>
    <numFmt numFmtId="178" formatCode="[$RM-43E]#,##0.00;[Red]\-[$RM-43E]#,##0.00"/>
    <numFmt numFmtId="179" formatCode="0.00_ ;[Red]\-0.00\ "/>
  </numFmts>
  <fonts count="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sz val="11"/>
      <color theme="1"/>
      <name val="等线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6" fillId="2" borderId="9" xfId="0" applyFont="1" applyFill="1" applyBorder="1">
      <alignment vertical="center"/>
    </xf>
    <xf numFmtId="0" fontId="5" fillId="2" borderId="10" xfId="0" applyFont="1" applyFill="1" applyBorder="1">
      <alignment vertical="center"/>
    </xf>
    <xf numFmtId="0" fontId="3" fillId="3" borderId="13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0" fontId="3" fillId="9" borderId="14" xfId="0" applyFont="1" applyFill="1" applyBorder="1">
      <alignment vertical="center"/>
    </xf>
    <xf numFmtId="0" fontId="3" fillId="6" borderId="0" xfId="0" applyFont="1" applyFill="1" applyBorder="1">
      <alignment vertical="center"/>
    </xf>
    <xf numFmtId="0" fontId="3" fillId="6" borderId="14" xfId="0" applyFont="1" applyFill="1" applyBorder="1">
      <alignment vertical="center"/>
    </xf>
    <xf numFmtId="0" fontId="3" fillId="6" borderId="13" xfId="0" applyFont="1" applyFill="1" applyBorder="1">
      <alignment vertical="center"/>
    </xf>
    <xf numFmtId="0" fontId="0" fillId="11" borderId="10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3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14" xfId="0" applyFill="1" applyBorder="1">
      <alignment vertical="center"/>
    </xf>
    <xf numFmtId="0" fontId="0" fillId="11" borderId="2" xfId="0" applyFill="1" applyBorder="1">
      <alignment vertical="center"/>
    </xf>
    <xf numFmtId="0" fontId="0" fillId="11" borderId="16" xfId="0" applyFill="1" applyBorder="1">
      <alignment vertical="center"/>
    </xf>
    <xf numFmtId="0" fontId="0" fillId="11" borderId="17" xfId="0" applyFill="1" applyBorder="1">
      <alignment vertical="center"/>
    </xf>
    <xf numFmtId="0" fontId="5" fillId="11" borderId="0" xfId="0" applyFont="1" applyFill="1" applyBorder="1">
      <alignment vertical="center"/>
    </xf>
    <xf numFmtId="0" fontId="5" fillId="11" borderId="14" xfId="0" applyFont="1" applyFill="1" applyBorder="1">
      <alignment vertical="center"/>
    </xf>
    <xf numFmtId="176" fontId="0" fillId="4" borderId="1" xfId="0" applyNumberFormat="1" applyFont="1" applyFill="1" applyBorder="1">
      <alignment vertical="center"/>
    </xf>
    <xf numFmtId="176" fontId="0" fillId="4" borderId="1" xfId="0" applyNumberFormat="1" applyFill="1" applyBorder="1">
      <alignment vertical="center"/>
    </xf>
    <xf numFmtId="176" fontId="0" fillId="8" borderId="8" xfId="0" applyNumberFormat="1" applyFont="1" applyFill="1" applyBorder="1">
      <alignment vertical="center"/>
    </xf>
    <xf numFmtId="176" fontId="0" fillId="7" borderId="4" xfId="0" applyNumberFormat="1" applyFill="1" applyBorder="1">
      <alignment vertical="center"/>
    </xf>
    <xf numFmtId="176" fontId="0" fillId="7" borderId="6" xfId="0" applyNumberFormat="1" applyFill="1" applyBorder="1">
      <alignment vertical="center"/>
    </xf>
    <xf numFmtId="176" fontId="0" fillId="5" borderId="4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7" fillId="10" borderId="12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176" fontId="0" fillId="4" borderId="5" xfId="0" applyNumberFormat="1" applyFill="1" applyBorder="1">
      <alignment vertical="center"/>
    </xf>
    <xf numFmtId="176" fontId="0" fillId="11" borderId="0" xfId="0" applyNumberFormat="1" applyFill="1" applyBorder="1">
      <alignment vertical="center"/>
    </xf>
    <xf numFmtId="176" fontId="0" fillId="4" borderId="3" xfId="0" applyNumberFormat="1" applyFont="1" applyFill="1" applyBorder="1">
      <alignment vertical="center"/>
    </xf>
    <xf numFmtId="0" fontId="4" fillId="10" borderId="12" xfId="0" applyFont="1" applyFill="1" applyBorder="1" applyAlignment="1">
      <alignment horizontal="right" vertical="center"/>
    </xf>
    <xf numFmtId="0" fontId="2" fillId="5" borderId="16" xfId="0" applyFont="1" applyFill="1" applyBorder="1" applyAlignment="1">
      <alignment horizontal="right"/>
    </xf>
    <xf numFmtId="0" fontId="2" fillId="11" borderId="1" xfId="0" applyFont="1" applyFill="1" applyBorder="1">
      <alignment vertical="center"/>
    </xf>
    <xf numFmtId="0" fontId="2" fillId="7" borderId="16" xfId="0" applyFont="1" applyFill="1" applyBorder="1" applyAlignment="1">
      <alignment horizontal="right" vertical="center"/>
    </xf>
    <xf numFmtId="177" fontId="0" fillId="8" borderId="8" xfId="0" applyNumberFormat="1" applyFont="1" applyFill="1" applyBorder="1">
      <alignment vertical="center"/>
    </xf>
    <xf numFmtId="177" fontId="0" fillId="5" borderId="6" xfId="0" applyNumberFormat="1" applyFill="1" applyBorder="1">
      <alignment vertical="center"/>
    </xf>
    <xf numFmtId="177" fontId="0" fillId="8" borderId="8" xfId="0" applyNumberFormat="1" applyFill="1" applyBorder="1">
      <alignment vertical="center"/>
    </xf>
    <xf numFmtId="179" fontId="0" fillId="8" borderId="8" xfId="0" applyNumberFormat="1" applyFont="1" applyFill="1" applyBorder="1">
      <alignment vertical="center"/>
    </xf>
    <xf numFmtId="179" fontId="0" fillId="8" borderId="7" xfId="0" applyNumberFormat="1" applyFont="1" applyFill="1" applyBorder="1">
      <alignment vertical="center"/>
    </xf>
    <xf numFmtId="179" fontId="0" fillId="7" borderId="6" xfId="0" applyNumberFormat="1" applyFill="1" applyBorder="1">
      <alignment vertical="center"/>
    </xf>
    <xf numFmtId="178" fontId="7" fillId="10" borderId="15" xfId="0" applyNumberFormat="1" applyFont="1" applyFill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57150</xdr:rowOff>
        </xdr:from>
        <xdr:to>
          <xdr:col>6</xdr:col>
          <xdr:colOff>1476375</xdr:colOff>
          <xdr:row>9</xdr:row>
          <xdr:rowOff>38100</xdr:rowOff>
        </xdr:to>
        <xdr:sp macro="" textlink="">
          <xdr:nvSpPr>
            <xdr:cNvPr id="1031" name="btnCalculateSummary_click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1666875</xdr:colOff>
          <xdr:row>7</xdr:row>
          <xdr:rowOff>66675</xdr:rowOff>
        </xdr:from>
        <xdr:to>
          <xdr:col>7</xdr:col>
          <xdr:colOff>609600</xdr:colOff>
          <xdr:row>9</xdr:row>
          <xdr:rowOff>19050</xdr:rowOff>
        </xdr:to>
        <xdr:sp macro="" textlink="">
          <xdr:nvSpPr>
            <xdr:cNvPr id="1032" name="btnReset_Click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6265A-C09B-4430-B084-9C0C95DC126B}">
  <sheetPr codeName="Sheet1"/>
  <dimension ref="A1:J64"/>
  <sheetViews>
    <sheetView tabSelected="1" topLeftCell="A22" zoomScale="85" zoomScaleNormal="85" workbookViewId="0">
      <selection activeCell="G35" sqref="G35"/>
    </sheetView>
  </sheetViews>
  <sheetFormatPr defaultRowHeight="14.25"/>
  <cols>
    <col min="1" max="1" width="22.25" customWidth="1"/>
    <col min="2" max="2" width="19.125" customWidth="1"/>
    <col min="3" max="3" width="17" customWidth="1"/>
    <col min="4" max="4" width="18.375" customWidth="1"/>
    <col min="7" max="7" width="28.625" customWidth="1"/>
    <col min="8" max="8" width="20.875" customWidth="1"/>
    <col min="9" max="9" width="20.625" customWidth="1"/>
    <col min="10" max="10" width="19.375" customWidth="1"/>
  </cols>
  <sheetData>
    <row r="1" spans="1:10" ht="15" thickBot="1"/>
    <row r="2" spans="1:10" ht="26.25">
      <c r="A2" s="3" t="s">
        <v>0</v>
      </c>
      <c r="B2" s="4"/>
      <c r="C2" s="4"/>
      <c r="D2" s="4"/>
      <c r="E2" s="12"/>
      <c r="F2" s="12"/>
      <c r="G2" s="12"/>
      <c r="H2" s="12"/>
      <c r="I2" s="12"/>
      <c r="J2" s="13"/>
    </row>
    <row r="3" spans="1:10">
      <c r="A3" s="14"/>
      <c r="B3" s="15"/>
      <c r="C3" s="15"/>
      <c r="D3" s="15"/>
      <c r="E3" s="15"/>
      <c r="F3" s="15"/>
      <c r="G3" s="15"/>
      <c r="H3" s="15"/>
      <c r="I3" s="15"/>
      <c r="J3" s="16"/>
    </row>
    <row r="4" spans="1:10" ht="15.75">
      <c r="A4" s="5" t="s">
        <v>26</v>
      </c>
      <c r="B4" s="6" t="s">
        <v>1</v>
      </c>
      <c r="C4" s="6" t="s">
        <v>2</v>
      </c>
      <c r="D4" s="6" t="s">
        <v>3</v>
      </c>
      <c r="E4" s="15"/>
      <c r="F4" s="15"/>
      <c r="G4" s="7" t="s">
        <v>88</v>
      </c>
      <c r="H4" s="7" t="s">
        <v>1</v>
      </c>
      <c r="I4" s="7" t="s">
        <v>2</v>
      </c>
      <c r="J4" s="8" t="s">
        <v>3</v>
      </c>
    </row>
    <row r="5" spans="1:10" ht="15.75">
      <c r="A5" s="36" t="s">
        <v>4</v>
      </c>
      <c r="B5" s="22">
        <v>15000</v>
      </c>
      <c r="C5" s="22">
        <v>15000</v>
      </c>
      <c r="D5" s="24">
        <f>B5-C5</f>
        <v>0</v>
      </c>
      <c r="E5" s="15"/>
      <c r="F5" s="15"/>
      <c r="G5" s="6" t="s">
        <v>10</v>
      </c>
      <c r="H5" s="22">
        <v>20655.5</v>
      </c>
      <c r="I5" s="22">
        <v>20994.48</v>
      </c>
      <c r="J5" s="40">
        <v>-338.9799999999999</v>
      </c>
    </row>
    <row r="6" spans="1:10" ht="15.75">
      <c r="A6" s="36" t="s">
        <v>8</v>
      </c>
      <c r="B6" s="22">
        <v>2000</v>
      </c>
      <c r="C6" s="22">
        <v>2000</v>
      </c>
      <c r="D6" s="24">
        <f t="shared" ref="D6:D10" si="0">B6-C6</f>
        <v>0</v>
      </c>
      <c r="E6" s="15"/>
      <c r="F6" s="15"/>
      <c r="G6" s="9" t="s">
        <v>89</v>
      </c>
      <c r="H6" s="22">
        <v>18679.72</v>
      </c>
      <c r="I6" s="22">
        <v>18280.300000000003</v>
      </c>
      <c r="J6" s="28">
        <v>399.42000000000007</v>
      </c>
    </row>
    <row r="7" spans="1:10" ht="16.5" thickBot="1">
      <c r="A7" s="36" t="s">
        <v>5</v>
      </c>
      <c r="B7" s="22">
        <v>1000</v>
      </c>
      <c r="C7" s="22">
        <v>1050.55</v>
      </c>
      <c r="D7" s="38">
        <f>B7-C7</f>
        <v>-50.549999999999955</v>
      </c>
      <c r="E7" s="15"/>
      <c r="F7" s="15"/>
      <c r="G7" s="34" t="s">
        <v>90</v>
      </c>
      <c r="H7" s="29">
        <v>1975.7799999999988</v>
      </c>
      <c r="I7" s="29">
        <v>2714.1799999999967</v>
      </c>
      <c r="J7" s="44">
        <v>-738.4</v>
      </c>
    </row>
    <row r="8" spans="1:10" ht="16.5" thickTop="1">
      <c r="A8" s="36" t="s">
        <v>6</v>
      </c>
      <c r="B8" s="22">
        <v>500</v>
      </c>
      <c r="C8" s="22">
        <v>788.43</v>
      </c>
      <c r="D8" s="38">
        <f t="shared" si="0"/>
        <v>-288.42999999999995</v>
      </c>
      <c r="E8" s="15"/>
      <c r="F8" s="15"/>
      <c r="G8" s="15"/>
      <c r="H8" s="15"/>
      <c r="I8" s="15"/>
      <c r="J8" s="16"/>
    </row>
    <row r="9" spans="1:10" ht="15.75">
      <c r="A9" s="36" t="s">
        <v>7</v>
      </c>
      <c r="B9" s="22">
        <v>2155.5</v>
      </c>
      <c r="C9" s="22">
        <v>2155.5</v>
      </c>
      <c r="D9" s="24">
        <f t="shared" si="0"/>
        <v>0</v>
      </c>
      <c r="E9" s="15"/>
      <c r="F9" s="15"/>
      <c r="G9" s="15"/>
      <c r="H9" s="15"/>
      <c r="I9" s="15"/>
      <c r="J9" s="16"/>
    </row>
    <row r="10" spans="1:10" ht="16.5" thickBot="1">
      <c r="A10" s="36" t="s">
        <v>9</v>
      </c>
      <c r="B10" s="33">
        <v>0</v>
      </c>
      <c r="C10" s="33">
        <v>0</v>
      </c>
      <c r="D10" s="24">
        <f t="shared" si="0"/>
        <v>0</v>
      </c>
      <c r="E10" s="15"/>
      <c r="F10" s="15"/>
      <c r="G10" s="15"/>
      <c r="H10" s="15"/>
      <c r="I10" s="15"/>
      <c r="J10" s="16"/>
    </row>
    <row r="11" spans="1:10" ht="16.5" thickBot="1">
      <c r="A11" s="35" t="s">
        <v>10</v>
      </c>
      <c r="B11" s="27">
        <f>SUM(B5:B10)</f>
        <v>20655.5</v>
      </c>
      <c r="C11" s="27">
        <f>SUM(C5:C10)</f>
        <v>20994.48</v>
      </c>
      <c r="D11" s="39">
        <f>SUM(D5:D10)</f>
        <v>-338.9799999999999</v>
      </c>
      <c r="E11" s="15"/>
      <c r="F11" s="15"/>
      <c r="G11" s="9" t="s">
        <v>53</v>
      </c>
      <c r="H11" s="9" t="s">
        <v>1</v>
      </c>
      <c r="I11" s="9" t="s">
        <v>2</v>
      </c>
      <c r="J11" s="10" t="s">
        <v>3</v>
      </c>
    </row>
    <row r="12" spans="1:10" ht="15.75">
      <c r="A12" s="14"/>
      <c r="B12" s="15"/>
      <c r="C12" s="15"/>
      <c r="D12" s="15"/>
      <c r="E12" s="15"/>
      <c r="F12" s="15"/>
      <c r="G12" s="36" t="s">
        <v>54</v>
      </c>
      <c r="H12" s="30">
        <v>100</v>
      </c>
      <c r="I12" s="30">
        <v>80</v>
      </c>
      <c r="J12" s="41">
        <f t="shared" ref="J12:J20" si="1">H12-I12</f>
        <v>20</v>
      </c>
    </row>
    <row r="13" spans="1:10" ht="15.75">
      <c r="A13" s="11" t="s">
        <v>25</v>
      </c>
      <c r="B13" s="9" t="s">
        <v>1</v>
      </c>
      <c r="C13" s="9" t="s">
        <v>2</v>
      </c>
      <c r="D13" s="9" t="s">
        <v>3</v>
      </c>
      <c r="E13" s="15"/>
      <c r="F13" s="15"/>
      <c r="G13" s="36" t="s">
        <v>55</v>
      </c>
      <c r="H13" s="30">
        <v>0</v>
      </c>
      <c r="I13" s="30">
        <v>20</v>
      </c>
      <c r="J13" s="41">
        <f>H13-I13</f>
        <v>-20</v>
      </c>
    </row>
    <row r="14" spans="1:10" ht="15.75">
      <c r="A14" s="36" t="s">
        <v>11</v>
      </c>
      <c r="B14" s="23">
        <v>1100</v>
      </c>
      <c r="C14" s="23">
        <v>1100</v>
      </c>
      <c r="D14" s="41">
        <f>B14-C14</f>
        <v>0</v>
      </c>
      <c r="E14" s="15"/>
      <c r="F14" s="15"/>
      <c r="G14" s="36" t="s">
        <v>57</v>
      </c>
      <c r="H14" s="30">
        <v>30</v>
      </c>
      <c r="I14" s="30">
        <v>25</v>
      </c>
      <c r="J14" s="41">
        <f t="shared" si="1"/>
        <v>5</v>
      </c>
    </row>
    <row r="15" spans="1:10" ht="15.75">
      <c r="A15" s="36" t="s">
        <v>12</v>
      </c>
      <c r="B15" s="23">
        <v>276</v>
      </c>
      <c r="C15" s="23">
        <v>276</v>
      </c>
      <c r="D15" s="41">
        <f>B15-C15</f>
        <v>0</v>
      </c>
      <c r="E15" s="15"/>
      <c r="F15" s="15"/>
      <c r="G15" s="36" t="s">
        <v>56</v>
      </c>
      <c r="H15" s="30">
        <v>20</v>
      </c>
      <c r="I15" s="30">
        <v>0</v>
      </c>
      <c r="J15" s="41">
        <f t="shared" si="1"/>
        <v>20</v>
      </c>
    </row>
    <row r="16" spans="1:10" ht="15.75">
      <c r="A16" s="36" t="s">
        <v>14</v>
      </c>
      <c r="B16" s="23">
        <v>45</v>
      </c>
      <c r="C16" s="23">
        <v>58.75</v>
      </c>
      <c r="D16" s="41">
        <f t="shared" ref="D16:D25" si="2">B16-C16</f>
        <v>-13.75</v>
      </c>
      <c r="E16" s="15"/>
      <c r="F16" s="15"/>
      <c r="G16" s="36" t="s">
        <v>61</v>
      </c>
      <c r="H16" s="30">
        <v>0</v>
      </c>
      <c r="I16" s="30">
        <v>0</v>
      </c>
      <c r="J16" s="41">
        <f t="shared" si="1"/>
        <v>0</v>
      </c>
    </row>
    <row r="17" spans="1:10" ht="15.75">
      <c r="A17" s="36" t="s">
        <v>15</v>
      </c>
      <c r="B17" s="23">
        <v>10</v>
      </c>
      <c r="C17" s="23">
        <v>10</v>
      </c>
      <c r="D17" s="41">
        <f t="shared" si="2"/>
        <v>0</v>
      </c>
      <c r="E17" s="15"/>
      <c r="F17" s="15"/>
      <c r="G17" s="36" t="s">
        <v>58</v>
      </c>
      <c r="H17" s="30">
        <v>15</v>
      </c>
      <c r="I17" s="30">
        <v>10</v>
      </c>
      <c r="J17" s="41">
        <f t="shared" si="1"/>
        <v>5</v>
      </c>
    </row>
    <row r="18" spans="1:10" ht="15.75">
      <c r="A18" s="36" t="s">
        <v>16</v>
      </c>
      <c r="B18" s="23">
        <v>23</v>
      </c>
      <c r="C18" s="23">
        <v>23</v>
      </c>
      <c r="D18" s="41">
        <f t="shared" si="2"/>
        <v>0</v>
      </c>
      <c r="E18" s="15"/>
      <c r="F18" s="15"/>
      <c r="G18" s="36" t="s">
        <v>59</v>
      </c>
      <c r="H18" s="30">
        <v>800</v>
      </c>
      <c r="I18" s="30">
        <v>1099</v>
      </c>
      <c r="J18" s="41">
        <f t="shared" si="1"/>
        <v>-299</v>
      </c>
    </row>
    <row r="19" spans="1:10" ht="15.75">
      <c r="A19" s="36" t="s">
        <v>13</v>
      </c>
      <c r="B19" s="23">
        <v>40.72</v>
      </c>
      <c r="C19" s="23">
        <v>40.72</v>
      </c>
      <c r="D19" s="41">
        <f t="shared" si="2"/>
        <v>0</v>
      </c>
      <c r="E19" s="15"/>
      <c r="F19" s="15"/>
      <c r="G19" s="36" t="s">
        <v>60</v>
      </c>
      <c r="H19" s="30">
        <v>50</v>
      </c>
      <c r="I19" s="30">
        <v>30</v>
      </c>
      <c r="J19" s="41">
        <f t="shared" si="1"/>
        <v>20</v>
      </c>
    </row>
    <row r="20" spans="1:10" ht="16.5" thickBot="1">
      <c r="A20" s="36" t="s">
        <v>17</v>
      </c>
      <c r="B20" s="23">
        <v>15</v>
      </c>
      <c r="C20" s="23">
        <v>15</v>
      </c>
      <c r="D20" s="41">
        <f t="shared" si="2"/>
        <v>0</v>
      </c>
      <c r="E20" s="15"/>
      <c r="F20" s="15"/>
      <c r="G20" s="36" t="s">
        <v>23</v>
      </c>
      <c r="H20" s="30">
        <v>0</v>
      </c>
      <c r="I20" s="30">
        <v>0</v>
      </c>
      <c r="J20" s="41">
        <f t="shared" si="1"/>
        <v>0</v>
      </c>
    </row>
    <row r="21" spans="1:10" ht="16.5" thickBot="1">
      <c r="A21" s="36" t="s">
        <v>18</v>
      </c>
      <c r="B21" s="23">
        <v>94</v>
      </c>
      <c r="C21" s="23">
        <v>94</v>
      </c>
      <c r="D21" s="41">
        <f t="shared" si="2"/>
        <v>0</v>
      </c>
      <c r="E21" s="15"/>
      <c r="F21" s="15"/>
      <c r="G21" s="37" t="s">
        <v>34</v>
      </c>
      <c r="H21" s="25">
        <f>SUM(H12:H20)</f>
        <v>1015</v>
      </c>
      <c r="I21" s="25">
        <f>SUM(I12:I20)</f>
        <v>1264</v>
      </c>
      <c r="J21" s="43">
        <f>SUM(J12:J20)</f>
        <v>-249</v>
      </c>
    </row>
    <row r="22" spans="1:10" ht="15.75">
      <c r="A22" s="36" t="s">
        <v>19</v>
      </c>
      <c r="B22" s="23">
        <v>50</v>
      </c>
      <c r="C22" s="23">
        <v>25</v>
      </c>
      <c r="D22" s="41">
        <f t="shared" si="2"/>
        <v>25</v>
      </c>
      <c r="E22" s="15"/>
      <c r="F22" s="15"/>
      <c r="G22" s="20"/>
      <c r="H22" s="20"/>
      <c r="I22" s="20"/>
      <c r="J22" s="21"/>
    </row>
    <row r="23" spans="1:10" ht="15.75">
      <c r="A23" s="36" t="s">
        <v>20</v>
      </c>
      <c r="B23" s="23">
        <v>1000</v>
      </c>
      <c r="C23" s="23">
        <v>1423.55</v>
      </c>
      <c r="D23" s="41">
        <f t="shared" si="2"/>
        <v>-423.54999999999995</v>
      </c>
      <c r="E23" s="15"/>
      <c r="F23" s="15"/>
      <c r="G23" s="9" t="s">
        <v>62</v>
      </c>
      <c r="H23" s="9" t="s">
        <v>1</v>
      </c>
      <c r="I23" s="9" t="s">
        <v>2</v>
      </c>
      <c r="J23" s="10" t="s">
        <v>3</v>
      </c>
    </row>
    <row r="24" spans="1:10" ht="15.75">
      <c r="A24" s="36" t="s">
        <v>21</v>
      </c>
      <c r="B24" s="23">
        <v>500</v>
      </c>
      <c r="C24" s="23">
        <v>675</v>
      </c>
      <c r="D24" s="41">
        <f t="shared" si="2"/>
        <v>-175</v>
      </c>
      <c r="E24" s="15"/>
      <c r="F24" s="15"/>
      <c r="G24" s="36" t="s">
        <v>63</v>
      </c>
      <c r="H24" s="30">
        <v>3000</v>
      </c>
      <c r="I24" s="30">
        <v>1265</v>
      </c>
      <c r="J24" s="41">
        <f t="shared" ref="J24:J29" si="3">H24-I24</f>
        <v>1735</v>
      </c>
    </row>
    <row r="25" spans="1:10" ht="15.75">
      <c r="A25" s="36" t="s">
        <v>22</v>
      </c>
      <c r="B25" s="23">
        <v>1500</v>
      </c>
      <c r="C25" s="23">
        <v>1000</v>
      </c>
      <c r="D25" s="41">
        <f t="shared" si="2"/>
        <v>500</v>
      </c>
      <c r="E25" s="15"/>
      <c r="F25" s="15"/>
      <c r="G25" s="36" t="s">
        <v>64</v>
      </c>
      <c r="H25" s="30">
        <v>0</v>
      </c>
      <c r="I25" s="30">
        <v>0</v>
      </c>
      <c r="J25" s="41">
        <f t="shared" si="3"/>
        <v>0</v>
      </c>
    </row>
    <row r="26" spans="1:10" ht="16.5" thickBot="1">
      <c r="A26" s="36" t="s">
        <v>23</v>
      </c>
      <c r="B26" s="31">
        <v>50</v>
      </c>
      <c r="C26" s="31">
        <v>50</v>
      </c>
      <c r="D26" s="42">
        <f>B26-C26</f>
        <v>0</v>
      </c>
      <c r="E26" s="15"/>
      <c r="F26" s="15"/>
      <c r="G26" s="36" t="s">
        <v>65</v>
      </c>
      <c r="H26" s="30">
        <v>0</v>
      </c>
      <c r="I26" s="30">
        <v>0</v>
      </c>
      <c r="J26" s="41">
        <f t="shared" si="3"/>
        <v>0</v>
      </c>
    </row>
    <row r="27" spans="1:10" ht="16.5" thickBot="1">
      <c r="A27" s="37" t="s">
        <v>34</v>
      </c>
      <c r="B27" s="25">
        <f>SUM(B14:B26)</f>
        <v>4703.72</v>
      </c>
      <c r="C27" s="25">
        <f>SUM(C14:C26)</f>
        <v>4791.0200000000004</v>
      </c>
      <c r="D27" s="43">
        <f>SUM(D14:D26)</f>
        <v>-87.299999999999955</v>
      </c>
      <c r="E27" s="15"/>
      <c r="F27" s="15"/>
      <c r="G27" s="36" t="s">
        <v>66</v>
      </c>
      <c r="H27" s="30">
        <v>2500</v>
      </c>
      <c r="I27" s="30">
        <v>3000</v>
      </c>
      <c r="J27" s="41">
        <f t="shared" si="3"/>
        <v>-500</v>
      </c>
    </row>
    <row r="28" spans="1:10" ht="15.75">
      <c r="A28" s="14"/>
      <c r="B28" s="15"/>
      <c r="C28" s="15"/>
      <c r="D28" s="15"/>
      <c r="E28" s="15"/>
      <c r="F28" s="15"/>
      <c r="G28" s="36" t="s">
        <v>67</v>
      </c>
      <c r="H28" s="30">
        <v>0</v>
      </c>
      <c r="I28" s="30">
        <v>0</v>
      </c>
      <c r="J28" s="41">
        <f t="shared" si="3"/>
        <v>0</v>
      </c>
    </row>
    <row r="29" spans="1:10" ht="16.5" thickBot="1">
      <c r="A29" s="11" t="s">
        <v>24</v>
      </c>
      <c r="B29" s="9" t="s">
        <v>1</v>
      </c>
      <c r="C29" s="9" t="s">
        <v>2</v>
      </c>
      <c r="D29" s="9" t="s">
        <v>3</v>
      </c>
      <c r="E29" s="15"/>
      <c r="F29" s="15"/>
      <c r="G29" s="36" t="s">
        <v>68</v>
      </c>
      <c r="H29" s="30">
        <v>130</v>
      </c>
      <c r="I29" s="30">
        <v>130</v>
      </c>
      <c r="J29" s="41">
        <f t="shared" si="3"/>
        <v>0</v>
      </c>
    </row>
    <row r="30" spans="1:10" ht="16.5" thickBot="1">
      <c r="A30" s="36" t="s">
        <v>27</v>
      </c>
      <c r="B30" s="23">
        <v>1500</v>
      </c>
      <c r="C30" s="23">
        <v>1500</v>
      </c>
      <c r="D30" s="41">
        <f t="shared" ref="D30:D37" si="4">B30-C30</f>
        <v>0</v>
      </c>
      <c r="E30" s="15"/>
      <c r="F30" s="15"/>
      <c r="G30" s="37" t="s">
        <v>34</v>
      </c>
      <c r="H30" s="25">
        <f>SUM(H24:H29)</f>
        <v>5630</v>
      </c>
      <c r="I30" s="25">
        <f>SUM(I24:I29)</f>
        <v>4395</v>
      </c>
      <c r="J30" s="43">
        <f>SUM(J24:J29)</f>
        <v>1235</v>
      </c>
    </row>
    <row r="31" spans="1:10" ht="15.75">
      <c r="A31" s="36" t="s">
        <v>28</v>
      </c>
      <c r="B31" s="23">
        <v>850</v>
      </c>
      <c r="C31" s="23">
        <v>799.5</v>
      </c>
      <c r="D31" s="41">
        <f t="shared" si="4"/>
        <v>50.5</v>
      </c>
      <c r="E31" s="15"/>
      <c r="F31" s="15"/>
      <c r="G31" s="20"/>
      <c r="H31" s="20"/>
      <c r="I31" s="20"/>
      <c r="J31" s="21"/>
    </row>
    <row r="32" spans="1:10" ht="15.75">
      <c r="A32" s="36" t="s">
        <v>29</v>
      </c>
      <c r="B32" s="23">
        <v>150</v>
      </c>
      <c r="C32" s="23">
        <v>104.7</v>
      </c>
      <c r="D32" s="41">
        <f t="shared" si="4"/>
        <v>45.3</v>
      </c>
      <c r="E32" s="15"/>
      <c r="F32" s="15"/>
      <c r="G32" s="9" t="s">
        <v>69</v>
      </c>
      <c r="H32" s="9" t="s">
        <v>1</v>
      </c>
      <c r="I32" s="9" t="s">
        <v>2</v>
      </c>
      <c r="J32" s="10" t="s">
        <v>3</v>
      </c>
    </row>
    <row r="33" spans="1:10" ht="15.75">
      <c r="A33" s="36" t="s">
        <v>30</v>
      </c>
      <c r="B33" s="23">
        <v>0</v>
      </c>
      <c r="C33" s="23">
        <v>0</v>
      </c>
      <c r="D33" s="41">
        <f t="shared" si="4"/>
        <v>0</v>
      </c>
      <c r="E33" s="15"/>
      <c r="F33" s="15"/>
      <c r="G33" s="36" t="s">
        <v>91</v>
      </c>
      <c r="H33" s="30">
        <v>1500</v>
      </c>
      <c r="I33" s="30">
        <v>1500</v>
      </c>
      <c r="J33" s="41">
        <f t="shared" ref="J33:J40" si="5">H33-I33</f>
        <v>0</v>
      </c>
    </row>
    <row r="34" spans="1:10" ht="15.75">
      <c r="A34" s="36" t="s">
        <v>31</v>
      </c>
      <c r="B34" s="23">
        <v>85</v>
      </c>
      <c r="C34" s="23">
        <v>100</v>
      </c>
      <c r="D34" s="41">
        <f t="shared" si="4"/>
        <v>-15</v>
      </c>
      <c r="E34" s="15"/>
      <c r="F34" s="15"/>
      <c r="G34" s="36" t="s">
        <v>70</v>
      </c>
      <c r="H34" s="30">
        <v>0</v>
      </c>
      <c r="I34" s="30">
        <v>0</v>
      </c>
      <c r="J34" s="41">
        <f t="shared" si="5"/>
        <v>0</v>
      </c>
    </row>
    <row r="35" spans="1:10" ht="15.75">
      <c r="A35" s="36" t="s">
        <v>32</v>
      </c>
      <c r="B35" s="23">
        <v>350</v>
      </c>
      <c r="C35" s="23">
        <v>295</v>
      </c>
      <c r="D35" s="41">
        <f t="shared" si="4"/>
        <v>55</v>
      </c>
      <c r="E35" s="15"/>
      <c r="F35" s="15"/>
      <c r="G35" s="36" t="s">
        <v>71</v>
      </c>
      <c r="H35" s="30">
        <v>0</v>
      </c>
      <c r="I35" s="30">
        <v>0</v>
      </c>
      <c r="J35" s="41">
        <f t="shared" si="5"/>
        <v>0</v>
      </c>
    </row>
    <row r="36" spans="1:10" ht="15.75">
      <c r="A36" s="36" t="s">
        <v>33</v>
      </c>
      <c r="B36" s="23">
        <v>0</v>
      </c>
      <c r="C36" s="23">
        <v>0</v>
      </c>
      <c r="D36" s="41">
        <f t="shared" si="4"/>
        <v>0</v>
      </c>
      <c r="E36" s="15"/>
      <c r="F36" s="15"/>
      <c r="G36" s="36" t="s">
        <v>72</v>
      </c>
      <c r="H36" s="30">
        <v>300</v>
      </c>
      <c r="I36" s="30">
        <v>356.55</v>
      </c>
      <c r="J36" s="41">
        <f t="shared" si="5"/>
        <v>-56.550000000000011</v>
      </c>
    </row>
    <row r="37" spans="1:10" ht="16.5" thickBot="1">
      <c r="A37" s="36" t="s">
        <v>23</v>
      </c>
      <c r="B37" s="23">
        <v>0</v>
      </c>
      <c r="C37" s="23">
        <v>0</v>
      </c>
      <c r="D37" s="41">
        <f t="shared" si="4"/>
        <v>0</v>
      </c>
      <c r="E37" s="15"/>
      <c r="F37" s="15"/>
      <c r="G37" s="36" t="s">
        <v>73</v>
      </c>
      <c r="H37" s="30">
        <v>0</v>
      </c>
      <c r="I37" s="30">
        <v>0</v>
      </c>
      <c r="J37" s="41">
        <f t="shared" si="5"/>
        <v>0</v>
      </c>
    </row>
    <row r="38" spans="1:10" ht="16.5" thickBot="1">
      <c r="A38" s="37" t="s">
        <v>34</v>
      </c>
      <c r="B38" s="25">
        <f>SUM(B30:B37)</f>
        <v>2935</v>
      </c>
      <c r="C38" s="25">
        <f>SUM(C30:C37)</f>
        <v>2799.2</v>
      </c>
      <c r="D38" s="26">
        <f>SUM(D30:D37)</f>
        <v>135.80000000000001</v>
      </c>
      <c r="E38" s="15"/>
      <c r="F38" s="15"/>
      <c r="G38" s="36" t="s">
        <v>74</v>
      </c>
      <c r="H38" s="30">
        <v>0</v>
      </c>
      <c r="I38" s="30">
        <v>0</v>
      </c>
      <c r="J38" s="41">
        <f t="shared" si="5"/>
        <v>0</v>
      </c>
    </row>
    <row r="39" spans="1:10" ht="15.75">
      <c r="A39" s="14"/>
      <c r="B39" s="15"/>
      <c r="C39" s="15"/>
      <c r="D39" s="15"/>
      <c r="E39" s="15"/>
      <c r="F39" s="15"/>
      <c r="G39" s="36" t="s">
        <v>75</v>
      </c>
      <c r="H39" s="30">
        <v>100</v>
      </c>
      <c r="I39" s="30">
        <v>238.48</v>
      </c>
      <c r="J39" s="41">
        <f t="shared" si="5"/>
        <v>-138.47999999999999</v>
      </c>
    </row>
    <row r="40" spans="1:10" ht="16.5" thickBot="1">
      <c r="A40" s="11" t="s">
        <v>37</v>
      </c>
      <c r="B40" s="9" t="s">
        <v>1</v>
      </c>
      <c r="C40" s="9" t="s">
        <v>2</v>
      </c>
      <c r="D40" s="9" t="s">
        <v>3</v>
      </c>
      <c r="E40" s="15"/>
      <c r="F40" s="15"/>
      <c r="G40" s="36" t="s">
        <v>68</v>
      </c>
      <c r="H40" s="30">
        <v>50</v>
      </c>
      <c r="I40" s="30">
        <v>150</v>
      </c>
      <c r="J40" s="41">
        <f t="shared" si="5"/>
        <v>-100</v>
      </c>
    </row>
    <row r="41" spans="1:10" ht="16.5" thickBot="1">
      <c r="A41" s="36" t="s">
        <v>35</v>
      </c>
      <c r="B41" s="23">
        <v>500</v>
      </c>
      <c r="C41" s="23">
        <v>643.75</v>
      </c>
      <c r="D41" s="41">
        <f t="shared" ref="D41:D51" si="6">B41-C41</f>
        <v>-143.75</v>
      </c>
      <c r="E41" s="15"/>
      <c r="F41" s="15"/>
      <c r="G41" s="37" t="s">
        <v>34</v>
      </c>
      <c r="H41" s="25">
        <f>SUM(H33:H40)</f>
        <v>1950</v>
      </c>
      <c r="I41" s="25">
        <f>SUM(I33:I40)</f>
        <v>2245.0299999999997</v>
      </c>
      <c r="J41" s="43">
        <f>SUM(J33:J40)</f>
        <v>-295.02999999999997</v>
      </c>
    </row>
    <row r="42" spans="1:10" ht="15.75">
      <c r="A42" s="36" t="s">
        <v>36</v>
      </c>
      <c r="B42" s="23">
        <v>200</v>
      </c>
      <c r="C42" s="23">
        <v>150</v>
      </c>
      <c r="D42" s="41">
        <f t="shared" si="6"/>
        <v>50</v>
      </c>
      <c r="E42" s="15"/>
      <c r="F42" s="15"/>
      <c r="G42" s="20"/>
      <c r="H42" s="20"/>
      <c r="I42" s="20"/>
      <c r="J42" s="21"/>
    </row>
    <row r="43" spans="1:10" ht="15.75">
      <c r="A43" s="36" t="s">
        <v>38</v>
      </c>
      <c r="B43" s="23">
        <v>300</v>
      </c>
      <c r="C43" s="23">
        <v>350</v>
      </c>
      <c r="D43" s="41">
        <f t="shared" si="6"/>
        <v>-50</v>
      </c>
      <c r="E43" s="15"/>
      <c r="F43" s="15"/>
      <c r="G43" s="9" t="s">
        <v>76</v>
      </c>
      <c r="H43" s="9" t="s">
        <v>1</v>
      </c>
      <c r="I43" s="9" t="s">
        <v>2</v>
      </c>
      <c r="J43" s="10" t="s">
        <v>3</v>
      </c>
    </row>
    <row r="44" spans="1:10" ht="15.75">
      <c r="A44" s="36" t="s">
        <v>39</v>
      </c>
      <c r="B44" s="23">
        <v>0</v>
      </c>
      <c r="C44" s="23">
        <v>0</v>
      </c>
      <c r="D44" s="41">
        <f t="shared" si="6"/>
        <v>0</v>
      </c>
      <c r="E44" s="15"/>
      <c r="F44" s="15"/>
      <c r="G44" s="36" t="s">
        <v>77</v>
      </c>
      <c r="H44" s="30">
        <v>0</v>
      </c>
      <c r="I44" s="30">
        <v>50</v>
      </c>
      <c r="J44" s="41">
        <f t="shared" ref="J44:J47" si="7">H44-I44</f>
        <v>-50</v>
      </c>
    </row>
    <row r="45" spans="1:10" ht="15.75">
      <c r="A45" s="36" t="s">
        <v>40</v>
      </c>
      <c r="B45" s="23">
        <v>100</v>
      </c>
      <c r="C45" s="23">
        <v>88</v>
      </c>
      <c r="D45" s="41">
        <f t="shared" si="6"/>
        <v>12</v>
      </c>
      <c r="E45" s="15"/>
      <c r="F45" s="15"/>
      <c r="G45" s="36" t="s">
        <v>78</v>
      </c>
      <c r="H45" s="30">
        <v>20</v>
      </c>
      <c r="I45" s="30">
        <v>30</v>
      </c>
      <c r="J45" s="41">
        <f t="shared" si="7"/>
        <v>-10</v>
      </c>
    </row>
    <row r="46" spans="1:10" ht="15.75">
      <c r="A46" s="36" t="s">
        <v>41</v>
      </c>
      <c r="B46" s="23">
        <v>0</v>
      </c>
      <c r="C46" s="23">
        <v>0</v>
      </c>
      <c r="D46" s="41">
        <f t="shared" si="6"/>
        <v>0</v>
      </c>
      <c r="E46" s="15"/>
      <c r="F46" s="15"/>
      <c r="G46" s="36" t="s">
        <v>79</v>
      </c>
      <c r="H46" s="30">
        <v>0</v>
      </c>
      <c r="I46" s="30">
        <v>5</v>
      </c>
      <c r="J46" s="41">
        <f t="shared" si="7"/>
        <v>-5</v>
      </c>
    </row>
    <row r="47" spans="1:10" ht="16.5" thickBot="1">
      <c r="A47" s="36" t="s">
        <v>42</v>
      </c>
      <c r="B47" s="23">
        <v>20</v>
      </c>
      <c r="C47" s="23">
        <v>25</v>
      </c>
      <c r="D47" s="41">
        <f>B47-C47</f>
        <v>-5</v>
      </c>
      <c r="E47" s="15"/>
      <c r="F47" s="15"/>
      <c r="G47" s="36" t="s">
        <v>68</v>
      </c>
      <c r="H47" s="30">
        <v>0</v>
      </c>
      <c r="I47" s="30">
        <v>0</v>
      </c>
      <c r="J47" s="41">
        <f t="shared" si="7"/>
        <v>0</v>
      </c>
    </row>
    <row r="48" spans="1:10" ht="16.5" thickBot="1">
      <c r="A48" s="36" t="s">
        <v>43</v>
      </c>
      <c r="B48" s="23">
        <v>0</v>
      </c>
      <c r="C48" s="23">
        <v>0</v>
      </c>
      <c r="D48" s="41">
        <f t="shared" si="6"/>
        <v>0</v>
      </c>
      <c r="E48" s="15"/>
      <c r="F48" s="15"/>
      <c r="G48" s="37" t="s">
        <v>34</v>
      </c>
      <c r="H48" s="25">
        <f>SUM(H44:H47)</f>
        <v>20</v>
      </c>
      <c r="I48" s="25">
        <f>SUM(I44:I47)</f>
        <v>85</v>
      </c>
      <c r="J48" s="43">
        <f>SUM(J44:J47)</f>
        <v>-65</v>
      </c>
    </row>
    <row r="49" spans="1:10" ht="15.75">
      <c r="A49" s="36" t="s">
        <v>45</v>
      </c>
      <c r="B49" s="23">
        <v>0</v>
      </c>
      <c r="C49" s="23">
        <v>0</v>
      </c>
      <c r="D49" s="41">
        <f t="shared" si="6"/>
        <v>0</v>
      </c>
      <c r="E49" s="15"/>
      <c r="F49" s="15"/>
      <c r="G49" s="20"/>
      <c r="H49" s="20"/>
      <c r="I49" s="20"/>
      <c r="J49" s="21"/>
    </row>
    <row r="50" spans="1:10" ht="15.75">
      <c r="A50" s="36" t="s">
        <v>44</v>
      </c>
      <c r="B50" s="23">
        <v>120</v>
      </c>
      <c r="C50" s="23">
        <v>136.80000000000001</v>
      </c>
      <c r="D50" s="41">
        <f t="shared" si="6"/>
        <v>-16.800000000000011</v>
      </c>
      <c r="E50" s="15"/>
      <c r="F50" s="15"/>
      <c r="G50" s="9" t="s">
        <v>84</v>
      </c>
      <c r="H50" s="9" t="s">
        <v>1</v>
      </c>
      <c r="I50" s="9" t="s">
        <v>2</v>
      </c>
      <c r="J50" s="10" t="s">
        <v>3</v>
      </c>
    </row>
    <row r="51" spans="1:10" ht="16.5" thickBot="1">
      <c r="A51" s="36" t="s">
        <v>23</v>
      </c>
      <c r="B51" s="31">
        <v>100</v>
      </c>
      <c r="C51" s="31">
        <v>21.5</v>
      </c>
      <c r="D51" s="41">
        <f t="shared" si="6"/>
        <v>78.5</v>
      </c>
      <c r="E51" s="15"/>
      <c r="F51" s="15"/>
      <c r="G51" s="36" t="s">
        <v>80</v>
      </c>
      <c r="H51" s="30">
        <v>36</v>
      </c>
      <c r="I51" s="30">
        <v>36</v>
      </c>
      <c r="J51" s="41">
        <f t="shared" ref="J51:J55" si="8">H51-I51</f>
        <v>0</v>
      </c>
    </row>
    <row r="52" spans="1:10" ht="16.5" thickBot="1">
      <c r="A52" s="37" t="s">
        <v>34</v>
      </c>
      <c r="B52" s="25">
        <f>SUM(B41:B51)</f>
        <v>1340</v>
      </c>
      <c r="C52" s="25">
        <f>SUM(C41:C51)</f>
        <v>1415.05</v>
      </c>
      <c r="D52" s="43">
        <f>SUM(D41:D51)</f>
        <v>-75.050000000000011</v>
      </c>
      <c r="E52" s="15"/>
      <c r="F52" s="15"/>
      <c r="G52" s="36" t="s">
        <v>81</v>
      </c>
      <c r="H52" s="30">
        <v>20</v>
      </c>
      <c r="I52" s="30">
        <v>0</v>
      </c>
      <c r="J52" s="41">
        <f t="shared" si="8"/>
        <v>20</v>
      </c>
    </row>
    <row r="53" spans="1:10" ht="15.75">
      <c r="A53" s="14"/>
      <c r="B53" s="32"/>
      <c r="C53" s="32"/>
      <c r="D53" s="32"/>
      <c r="E53" s="15"/>
      <c r="F53" s="15"/>
      <c r="G53" s="36" t="s">
        <v>82</v>
      </c>
      <c r="H53" s="30">
        <v>50</v>
      </c>
      <c r="I53" s="30">
        <v>50</v>
      </c>
      <c r="J53" s="41">
        <f t="shared" si="8"/>
        <v>0</v>
      </c>
    </row>
    <row r="54" spans="1:10" ht="15.75">
      <c r="A54" s="11" t="s">
        <v>46</v>
      </c>
      <c r="B54" s="9" t="s">
        <v>1</v>
      </c>
      <c r="C54" s="9" t="s">
        <v>2</v>
      </c>
      <c r="D54" s="9" t="s">
        <v>3</v>
      </c>
      <c r="E54" s="15"/>
      <c r="F54" s="15"/>
      <c r="G54" s="36" t="s">
        <v>83</v>
      </c>
      <c r="H54" s="30">
        <v>30</v>
      </c>
      <c r="I54" s="30">
        <v>40</v>
      </c>
      <c r="J54" s="41">
        <f t="shared" si="8"/>
        <v>-10</v>
      </c>
    </row>
    <row r="55" spans="1:10" ht="16.5" thickBot="1">
      <c r="A55" s="36" t="s">
        <v>47</v>
      </c>
      <c r="B55" s="23">
        <v>250</v>
      </c>
      <c r="C55" s="23">
        <v>250</v>
      </c>
      <c r="D55" s="41">
        <f t="shared" ref="D55:D61" si="9">B55-C55</f>
        <v>0</v>
      </c>
      <c r="E55" s="15"/>
      <c r="F55" s="15"/>
      <c r="G55" s="36" t="s">
        <v>68</v>
      </c>
      <c r="H55" s="30">
        <v>0</v>
      </c>
      <c r="I55" s="30">
        <v>8.9</v>
      </c>
      <c r="J55" s="41">
        <f t="shared" si="8"/>
        <v>-8.9</v>
      </c>
    </row>
    <row r="56" spans="1:10" ht="16.5" thickBot="1">
      <c r="A56" s="36" t="s">
        <v>51</v>
      </c>
      <c r="B56" s="23">
        <v>300</v>
      </c>
      <c r="C56" s="23">
        <v>300</v>
      </c>
      <c r="D56" s="41">
        <f t="shared" si="9"/>
        <v>0</v>
      </c>
      <c r="E56" s="15"/>
      <c r="F56" s="15"/>
      <c r="G56" s="37" t="s">
        <v>34</v>
      </c>
      <c r="H56" s="25">
        <f>SUM(H51:H55)</f>
        <v>136</v>
      </c>
      <c r="I56" s="25">
        <f>SUM(I51:I55)</f>
        <v>134.9</v>
      </c>
      <c r="J56" s="43">
        <f>SUM(J51:J55)</f>
        <v>1.0999999999999996</v>
      </c>
    </row>
    <row r="57" spans="1:10" ht="15.75">
      <c r="A57" s="36" t="s">
        <v>48</v>
      </c>
      <c r="B57" s="23">
        <v>150</v>
      </c>
      <c r="C57" s="23">
        <v>369.6</v>
      </c>
      <c r="D57" s="41">
        <f t="shared" si="9"/>
        <v>-219.60000000000002</v>
      </c>
      <c r="E57" s="15"/>
      <c r="F57" s="15"/>
      <c r="G57" s="20"/>
      <c r="H57" s="20"/>
      <c r="I57" s="20"/>
      <c r="J57" s="21"/>
    </row>
    <row r="58" spans="1:10" ht="15.75">
      <c r="A58" s="36" t="s">
        <v>49</v>
      </c>
      <c r="B58" s="23">
        <v>50</v>
      </c>
      <c r="C58" s="23">
        <v>79.5</v>
      </c>
      <c r="D58" s="41">
        <f t="shared" si="9"/>
        <v>-29.5</v>
      </c>
      <c r="E58" s="15"/>
      <c r="F58" s="15"/>
      <c r="G58" s="9" t="s">
        <v>85</v>
      </c>
      <c r="H58" s="9" t="s">
        <v>1</v>
      </c>
      <c r="I58" s="9" t="s">
        <v>2</v>
      </c>
      <c r="J58" s="10" t="s">
        <v>3</v>
      </c>
    </row>
    <row r="59" spans="1:10" ht="15.75">
      <c r="A59" s="36" t="s">
        <v>50</v>
      </c>
      <c r="B59" s="23">
        <v>0</v>
      </c>
      <c r="C59" s="23">
        <v>0</v>
      </c>
      <c r="D59" s="41">
        <f t="shared" si="9"/>
        <v>0</v>
      </c>
      <c r="E59" s="15"/>
      <c r="F59" s="15"/>
      <c r="G59" s="36" t="s">
        <v>86</v>
      </c>
      <c r="H59" s="30">
        <v>20</v>
      </c>
      <c r="I59" s="30">
        <v>12</v>
      </c>
      <c r="J59" s="41">
        <f t="shared" ref="J59:J61" si="10">H59-I59</f>
        <v>8</v>
      </c>
    </row>
    <row r="60" spans="1:10" ht="15.75">
      <c r="A60" s="36" t="s">
        <v>52</v>
      </c>
      <c r="B60" s="23">
        <v>150</v>
      </c>
      <c r="C60" s="23">
        <v>110</v>
      </c>
      <c r="D60" s="41">
        <f t="shared" si="9"/>
        <v>40</v>
      </c>
      <c r="E60" s="15"/>
      <c r="F60" s="15"/>
      <c r="G60" s="36" t="s">
        <v>87</v>
      </c>
      <c r="H60" s="30">
        <v>30</v>
      </c>
      <c r="I60" s="30">
        <v>0</v>
      </c>
      <c r="J60" s="41">
        <f t="shared" si="10"/>
        <v>30</v>
      </c>
    </row>
    <row r="61" spans="1:10" ht="16.5" thickBot="1">
      <c r="A61" s="36" t="s">
        <v>23</v>
      </c>
      <c r="B61" s="23">
        <v>0</v>
      </c>
      <c r="C61" s="23">
        <v>30</v>
      </c>
      <c r="D61" s="41">
        <f t="shared" si="9"/>
        <v>-30</v>
      </c>
      <c r="E61" s="15"/>
      <c r="F61" s="15"/>
      <c r="G61" s="36" t="s">
        <v>68</v>
      </c>
      <c r="H61" s="30">
        <v>0</v>
      </c>
      <c r="I61" s="30">
        <v>0</v>
      </c>
      <c r="J61" s="41">
        <f t="shared" si="10"/>
        <v>0</v>
      </c>
    </row>
    <row r="62" spans="1:10" ht="16.5" thickBot="1">
      <c r="A62" s="37" t="s">
        <v>34</v>
      </c>
      <c r="B62" s="25">
        <f>SUM(B55:B61)</f>
        <v>900</v>
      </c>
      <c r="C62" s="25">
        <f>SUM(C55:C61)</f>
        <v>1139.0999999999999</v>
      </c>
      <c r="D62" s="43">
        <f>SUM(D55:D61)</f>
        <v>-239.10000000000002</v>
      </c>
      <c r="E62" s="15"/>
      <c r="F62" s="15"/>
      <c r="G62" s="37" t="s">
        <v>34</v>
      </c>
      <c r="H62" s="25">
        <f>SUM(H59:H61)</f>
        <v>50</v>
      </c>
      <c r="I62" s="25">
        <f>SUM(I59:I61)</f>
        <v>12</v>
      </c>
      <c r="J62" s="43">
        <f>SUM(J59:J61)</f>
        <v>38</v>
      </c>
    </row>
    <row r="63" spans="1:10" ht="15" thickBot="1">
      <c r="A63" s="18"/>
      <c r="B63" s="17"/>
      <c r="C63" s="17"/>
      <c r="D63" s="17"/>
      <c r="E63" s="17"/>
      <c r="F63" s="17"/>
      <c r="G63" s="17"/>
      <c r="H63" s="17"/>
      <c r="I63" s="17"/>
      <c r="J63" s="19"/>
    </row>
    <row r="64" spans="1:10" ht="15.75">
      <c r="G64" s="2"/>
      <c r="H64" s="1"/>
      <c r="I64" s="1"/>
      <c r="J64" s="1"/>
    </row>
  </sheetData>
  <phoneticPr fontId="1" type="noConversion"/>
  <dataValidations xWindow="117" yWindow="561" count="2">
    <dataValidation allowBlank="1" showInputMessage="1" showErrorMessage="1" promptTitle="Meaning:" prompt="Include medical, pet's toys, grooming" sqref="A60" xr:uid="{A9BE1848-A9E1-4458-BDFB-74B256D2B53B}"/>
    <dataValidation allowBlank="1" showInputMessage="1" showErrorMessage="1" promptTitle="Meaning" prompt="financial support that a person is ordered by a court to give to their spouse during separation or following divorce" sqref="G35" xr:uid="{EE303D7D-0E04-4D8A-83A0-ED52C73A969E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btnReset_Click">
          <controlPr defaultSize="0" autoFill="0" autoLine="0" autoPict="0" r:id="rId5">
            <anchor moveWithCells="1">
              <from>
                <xdr:col>6</xdr:col>
                <xdr:colOff>1666875</xdr:colOff>
                <xdr:row>7</xdr:row>
                <xdr:rowOff>66675</xdr:rowOff>
              </from>
              <to>
                <xdr:col>7</xdr:col>
                <xdr:colOff>609600</xdr:colOff>
                <xdr:row>9</xdr:row>
                <xdr:rowOff>19050</xdr:rowOff>
              </to>
            </anchor>
          </controlPr>
        </control>
      </mc:Choice>
      <mc:Fallback>
        <control shapeId="1032" r:id="rId4" name="btnReset_Click"/>
      </mc:Fallback>
    </mc:AlternateContent>
    <mc:AlternateContent xmlns:mc="http://schemas.openxmlformats.org/markup-compatibility/2006">
      <mc:Choice Requires="x14">
        <control shapeId="1031" r:id="rId6" name="btnCalculateSummary_click">
          <controlPr defaultSize="0" autoFill="0" autoLine="0" autoPict="0" r:id="rId7">
            <anchor moveWithCells="1">
              <from>
                <xdr:col>6</xdr:col>
                <xdr:colOff>9525</xdr:colOff>
                <xdr:row>7</xdr:row>
                <xdr:rowOff>57150</xdr:rowOff>
              </from>
              <to>
                <xdr:col>6</xdr:col>
                <xdr:colOff>1476375</xdr:colOff>
                <xdr:row>9</xdr:row>
                <xdr:rowOff>38100</xdr:rowOff>
              </to>
            </anchor>
          </controlPr>
        </control>
      </mc:Choice>
      <mc:Fallback>
        <control shapeId="1031" r:id="rId6" name="btnCalculateSummary_cli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</dc:creator>
  <cp:lastModifiedBy>HONG</cp:lastModifiedBy>
  <dcterms:created xsi:type="dcterms:W3CDTF">2021-09-03T14:42:05Z</dcterms:created>
  <dcterms:modified xsi:type="dcterms:W3CDTF">2021-09-04T23:27:56Z</dcterms:modified>
</cp:coreProperties>
</file>